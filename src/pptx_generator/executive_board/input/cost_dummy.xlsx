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yuli/Documents/GitHub/LLM-CoE/apl/pptx_generator.worktree/libranch/work/"/>
    </mc:Choice>
  </mc:AlternateContent>
  <xr:revisionPtr revIDLastSave="0" documentId="13_ncr:1_{265BCF21-61F3-D840-A07B-662AC08815FC}" xr6:coauthVersionLast="47" xr6:coauthVersionMax="47" xr10:uidLastSave="{00000000-0000-0000-0000-000000000000}"/>
  <bookViews>
    <workbookView xWindow="780" yWindow="1120" windowWidth="29460" windowHeight="13760" xr2:uid="{66487996-50CF-8747-8657-D088F6ECBEF2}"/>
  </bookViews>
  <sheets>
    <sheet name="投資" sheetId="1" r:id="rId1"/>
    <sheet name="部門別経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8" i="2"/>
  <c r="D7" i="2"/>
  <c r="C7" i="2"/>
  <c r="M9" i="1"/>
  <c r="N7" i="1"/>
  <c r="N6" i="1"/>
  <c r="M8" i="1"/>
  <c r="K8" i="1"/>
  <c r="N8" i="1" l="1"/>
  <c r="K9" i="1"/>
  <c r="N9" i="1" l="1"/>
  <c r="K17" i="1"/>
  <c r="N17" i="1" s="1"/>
</calcChain>
</file>

<file path=xl/sharedStrings.xml><?xml version="1.0" encoding="utf-8"?>
<sst xmlns="http://schemas.openxmlformats.org/spreadsheetml/2006/main" count="60" uniqueCount="51">
  <si>
    <t>区分</t>
    <rPh sb="0" eb="2">
      <t xml:space="preserve">クブン </t>
    </rPh>
    <phoneticPr fontId="1"/>
  </si>
  <si>
    <t>本番</t>
    <rPh sb="0" eb="2">
      <t xml:space="preserve">ホンバン </t>
    </rPh>
    <phoneticPr fontId="1"/>
  </si>
  <si>
    <t>契約形態</t>
    <rPh sb="0" eb="2">
      <t xml:space="preserve">ケイヤク </t>
    </rPh>
    <rPh sb="2" eb="4">
      <t xml:space="preserve">ケイタイ </t>
    </rPh>
    <phoneticPr fontId="1"/>
  </si>
  <si>
    <t>発注書番号</t>
    <rPh sb="0" eb="3">
      <t xml:space="preserve">ハッチュウショ </t>
    </rPh>
    <rPh sb="3" eb="5">
      <t xml:space="preserve">バンゴウ </t>
    </rPh>
    <phoneticPr fontId="1"/>
  </si>
  <si>
    <t>請負</t>
    <rPh sb="0" eb="1">
      <t xml:space="preserve">セイキュウ </t>
    </rPh>
    <rPh sb="1" eb="2">
      <t xml:space="preserve">マケル </t>
    </rPh>
    <phoneticPr fontId="1"/>
  </si>
  <si>
    <t>明細</t>
    <rPh sb="0" eb="2">
      <t xml:space="preserve">メイサイ </t>
    </rPh>
    <phoneticPr fontId="1"/>
  </si>
  <si>
    <t>担当部</t>
    <rPh sb="0" eb="3">
      <t xml:space="preserve">タントウブ </t>
    </rPh>
    <phoneticPr fontId="1"/>
  </si>
  <si>
    <t>次長</t>
    <rPh sb="0" eb="2">
      <t xml:space="preserve">ジチョウ </t>
    </rPh>
    <phoneticPr fontId="1"/>
  </si>
  <si>
    <t>山田</t>
    <rPh sb="0" eb="1">
      <t xml:space="preserve">ヤマダ </t>
    </rPh>
    <phoneticPr fontId="1"/>
  </si>
  <si>
    <t>担当者</t>
    <rPh sb="0" eb="3">
      <t xml:space="preserve">タントウシャ </t>
    </rPh>
    <phoneticPr fontId="1"/>
  </si>
  <si>
    <t>山下</t>
    <rPh sb="0" eb="2">
      <t xml:space="preserve">ヤマシタ </t>
    </rPh>
    <phoneticPr fontId="1"/>
  </si>
  <si>
    <t>部署A</t>
    <rPh sb="0" eb="2">
      <t xml:space="preserve">ブショ </t>
    </rPh>
    <phoneticPr fontId="1"/>
  </si>
  <si>
    <t>計</t>
    <rPh sb="0" eb="1">
      <t xml:space="preserve">ケイサン </t>
    </rPh>
    <phoneticPr fontId="1"/>
  </si>
  <si>
    <t>業者</t>
    <rPh sb="0" eb="2">
      <t xml:space="preserve">ギョウシャ </t>
    </rPh>
    <phoneticPr fontId="1"/>
  </si>
  <si>
    <t>1.投資</t>
    <rPh sb="2" eb="4">
      <t xml:space="preserve">トウシ </t>
    </rPh>
    <phoneticPr fontId="1"/>
  </si>
  <si>
    <t>SI  合計</t>
    <rPh sb="4" eb="6">
      <t xml:space="preserve">ゴウケイ </t>
    </rPh>
    <phoneticPr fontId="1"/>
  </si>
  <si>
    <t>001</t>
    <phoneticPr fontId="1"/>
  </si>
  <si>
    <t>IBM</t>
    <phoneticPr fontId="1"/>
  </si>
  <si>
    <t>業務SI（IBM）</t>
    <rPh sb="0" eb="2">
      <t xml:space="preserve">ギョウム </t>
    </rPh>
    <phoneticPr fontId="2"/>
  </si>
  <si>
    <t>基盤構築(IBM)</t>
    <rPh sb="0" eb="4">
      <t>キバンコウチク</t>
    </rPh>
    <phoneticPr fontId="2"/>
  </si>
  <si>
    <t>銀行直発注</t>
    <rPh sb="0" eb="2">
      <t xml:space="preserve">ギンコウ </t>
    </rPh>
    <rPh sb="2" eb="5">
      <t xml:space="preserve">チョクハッチュウ </t>
    </rPh>
    <phoneticPr fontId="1"/>
  </si>
  <si>
    <t>〇〇システム構築</t>
    <rPh sb="6" eb="8">
      <t xml:space="preserve">コウチク </t>
    </rPh>
    <phoneticPr fontId="2"/>
  </si>
  <si>
    <t>〇〇ソフトウェア導入</t>
    <rPh sb="0" eb="10">
      <t>キバンコウチク</t>
    </rPh>
    <phoneticPr fontId="2"/>
  </si>
  <si>
    <t>〇〇システム構築SI</t>
    <rPh sb="0" eb="4">
      <t>キバンコウチク</t>
    </rPh>
    <phoneticPr fontId="2"/>
  </si>
  <si>
    <t>開発</t>
    <rPh sb="0" eb="2">
      <t xml:space="preserve">カイハツ </t>
    </rPh>
    <phoneticPr fontId="1"/>
  </si>
  <si>
    <t>銀行直発注 合計</t>
    <rPh sb="0" eb="2">
      <t xml:space="preserve">ギンコウ </t>
    </rPh>
    <rPh sb="2" eb="5">
      <t xml:space="preserve">チョクハッチュウ </t>
    </rPh>
    <rPh sb="6" eb="8">
      <t xml:space="preserve">ゴウケイ </t>
    </rPh>
    <phoneticPr fontId="1"/>
  </si>
  <si>
    <t>投資合計（除く銀行直発注分）</t>
    <rPh sb="5" eb="6">
      <t xml:space="preserve">ノゾク </t>
    </rPh>
    <rPh sb="7" eb="9">
      <t xml:space="preserve">ギンコウ </t>
    </rPh>
    <rPh sb="9" eb="10">
      <t xml:space="preserve">チョク </t>
    </rPh>
    <rPh sb="10" eb="13">
      <t xml:space="preserve">ハッチュウブン </t>
    </rPh>
    <phoneticPr fontId="2"/>
  </si>
  <si>
    <t>投資合計</t>
  </si>
  <si>
    <t>部門利益</t>
    <rPh sb="0" eb="4">
      <t xml:space="preserve">ブモンリエキ </t>
    </rPh>
    <phoneticPr fontId="1"/>
  </si>
  <si>
    <t>コスト
（業者見積金額）</t>
    <rPh sb="5" eb="7">
      <t xml:space="preserve">ギョウシャ </t>
    </rPh>
    <rPh sb="7" eb="9">
      <t xml:space="preserve">ミツモリ </t>
    </rPh>
    <rPh sb="9" eb="11">
      <t xml:space="preserve">キンガク </t>
    </rPh>
    <phoneticPr fontId="1"/>
  </si>
  <si>
    <t>見積金額
（顧客宛見積金額）</t>
    <rPh sb="0" eb="2">
      <t xml:space="preserve">ミツモリ </t>
    </rPh>
    <rPh sb="2" eb="4">
      <t xml:space="preserve">キンガク </t>
    </rPh>
    <rPh sb="6" eb="8">
      <t xml:space="preserve">コキャク </t>
    </rPh>
    <rPh sb="8" eb="9">
      <t xml:space="preserve">アテ </t>
    </rPh>
    <rPh sb="9" eb="11">
      <t xml:space="preserve">ミツモリ </t>
    </rPh>
    <rPh sb="11" eb="13">
      <t xml:space="preserve">キンガク </t>
    </rPh>
    <phoneticPr fontId="1"/>
  </si>
  <si>
    <t>ベンダー</t>
    <phoneticPr fontId="1"/>
  </si>
  <si>
    <t>納品日</t>
    <rPh sb="0" eb="3">
      <t xml:space="preserve">ノウヒンビ </t>
    </rPh>
    <phoneticPr fontId="1"/>
  </si>
  <si>
    <t>検査期間</t>
    <rPh sb="0" eb="4">
      <t xml:space="preserve">ケンサキカン </t>
    </rPh>
    <phoneticPr fontId="1"/>
  </si>
  <si>
    <t>検収日</t>
    <rPh sb="0" eb="2">
      <t>ケンシュウ</t>
    </rPh>
    <rPh sb="2" eb="3">
      <t xml:space="preserve">ヒ </t>
    </rPh>
    <phoneticPr fontId="1"/>
  </si>
  <si>
    <t>顧客</t>
    <rPh sb="0" eb="2">
      <t xml:space="preserve">コキャク </t>
    </rPh>
    <phoneticPr fontId="1"/>
  </si>
  <si>
    <t>単位：円</t>
    <rPh sb="0" eb="2">
      <t xml:space="preserve">タンイ </t>
    </rPh>
    <rPh sb="3" eb="4">
      <t xml:space="preserve">エン </t>
    </rPh>
    <phoneticPr fontId="1"/>
  </si>
  <si>
    <t>部門別経費</t>
    <rPh sb="0" eb="3">
      <t xml:space="preserve">ブモンベツ </t>
    </rPh>
    <rPh sb="3" eb="5">
      <t xml:space="preserve">ケイヒ </t>
    </rPh>
    <phoneticPr fontId="1"/>
  </si>
  <si>
    <t>ランニングコスト</t>
    <phoneticPr fontId="1"/>
  </si>
  <si>
    <t>（5年間累計）</t>
    <rPh sb="2" eb="4">
      <t xml:space="preserve">ネンカン </t>
    </rPh>
    <rPh sb="4" eb="6">
      <t xml:space="preserve">ルイケイ </t>
    </rPh>
    <phoneticPr fontId="1"/>
  </si>
  <si>
    <t>期間請負</t>
    <rPh sb="0" eb="4">
      <t>キカンウk</t>
    </rPh>
    <phoneticPr fontId="1"/>
  </si>
  <si>
    <t>合計</t>
    <rPh sb="0" eb="2">
      <t xml:space="preserve">ゴウケイ </t>
    </rPh>
    <phoneticPr fontId="1"/>
  </si>
  <si>
    <t>内製開発</t>
    <rPh sb="0" eb="4">
      <t xml:space="preserve">ナイセイカイハツ </t>
    </rPh>
    <phoneticPr fontId="1"/>
  </si>
  <si>
    <t>PJ管理</t>
    <rPh sb="2" eb="4">
      <t xml:space="preserve">カンリ </t>
    </rPh>
    <phoneticPr fontId="1"/>
  </si>
  <si>
    <t>PN(IBM)</t>
    <phoneticPr fontId="1"/>
  </si>
  <si>
    <t>提示額</t>
    <rPh sb="0" eb="3">
      <t xml:space="preserve">テイジガク </t>
    </rPh>
    <phoneticPr fontId="1"/>
  </si>
  <si>
    <t>利益</t>
    <rPh sb="0" eb="2">
      <t xml:space="preserve">リエキ </t>
    </rPh>
    <phoneticPr fontId="1"/>
  </si>
  <si>
    <t>機器（リース・使用料）等</t>
    <phoneticPr fontId="1"/>
  </si>
  <si>
    <t>ソフト使用料、保守料等</t>
    <phoneticPr fontId="1"/>
  </si>
  <si>
    <t>運用、設備等</t>
    <phoneticPr fontId="1"/>
  </si>
  <si>
    <t>社員</t>
    <rPh sb="0" eb="2">
      <t xml:space="preserve">シャイン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</si>
</sst>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top"/>
    </xf>
    <xf numFmtId="49" fontId="0" fillId="0" borderId="2" xfId="0" applyNumberFormat="1" applyBorder="1">
      <alignment vertical="center"/>
    </xf>
    <xf numFmtId="49" fontId="0" fillId="0" borderId="12" xfId="0" applyNumberFormat="1" applyBorder="1">
      <alignment vertical="center"/>
    </xf>
    <xf numFmtId="49" fontId="0" fillId="0" borderId="5" xfId="0" applyNumberFormat="1" applyBorder="1">
      <alignment vertical="center"/>
    </xf>
    <xf numFmtId="0" fontId="3" fillId="0" borderId="5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7" xfId="0" applyFont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top"/>
    </xf>
    <xf numFmtId="176" fontId="0" fillId="0" borderId="1" xfId="0" applyNumberFormat="1" applyBorder="1" applyAlignment="1">
      <alignment horizontal="center" vertical="top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4B94-DB0C-5149-978E-8891322DCD86}">
  <dimension ref="A1:T18"/>
  <sheetViews>
    <sheetView showGridLines="0" tabSelected="1" zoomScale="110" zoomScaleNormal="110" workbookViewId="0"/>
  </sheetViews>
  <sheetFormatPr baseColWidth="10" defaultRowHeight="20"/>
  <cols>
    <col min="1" max="1" width="3.7109375" customWidth="1"/>
    <col min="2" max="2" width="3" customWidth="1"/>
    <col min="3" max="3" width="9.140625" customWidth="1"/>
    <col min="7" max="7" width="17" customWidth="1"/>
    <col min="11" max="11" width="16.42578125" customWidth="1"/>
    <col min="12" max="12" width="10.7109375" style="9"/>
    <col min="13" max="13" width="13.42578125" style="9" customWidth="1"/>
    <col min="14" max="14" width="20.5703125" style="9" customWidth="1"/>
    <col min="15" max="20" width="12.85546875" style="9" customWidth="1"/>
  </cols>
  <sheetData>
    <row r="1" spans="1:20">
      <c r="A1" t="s">
        <v>14</v>
      </c>
    </row>
    <row r="3" spans="1:20">
      <c r="N3" s="22" t="s">
        <v>36</v>
      </c>
    </row>
    <row r="4" spans="1:20" ht="26" customHeight="1">
      <c r="B4" s="4"/>
      <c r="C4" s="27" t="s">
        <v>0</v>
      </c>
      <c r="D4" s="27" t="s">
        <v>2</v>
      </c>
      <c r="E4" s="27" t="s">
        <v>3</v>
      </c>
      <c r="F4" s="35" t="s">
        <v>5</v>
      </c>
      <c r="G4" s="36"/>
      <c r="H4" s="27" t="s">
        <v>6</v>
      </c>
      <c r="I4" s="27" t="s">
        <v>7</v>
      </c>
      <c r="J4" s="27" t="s">
        <v>9</v>
      </c>
      <c r="K4" s="23" t="s">
        <v>29</v>
      </c>
      <c r="L4" s="25" t="s">
        <v>13</v>
      </c>
      <c r="M4" s="25" t="s">
        <v>28</v>
      </c>
      <c r="N4" s="23" t="s">
        <v>30</v>
      </c>
      <c r="O4" s="32" t="s">
        <v>31</v>
      </c>
      <c r="P4" s="33"/>
      <c r="Q4" s="34"/>
      <c r="R4" s="32" t="s">
        <v>35</v>
      </c>
      <c r="S4" s="33"/>
      <c r="T4" s="34"/>
    </row>
    <row r="5" spans="1:20">
      <c r="B5" s="6"/>
      <c r="C5" s="28"/>
      <c r="D5" s="28"/>
      <c r="E5" s="28"/>
      <c r="F5" s="37"/>
      <c r="G5" s="38"/>
      <c r="H5" s="28"/>
      <c r="I5" s="28"/>
      <c r="J5" s="28"/>
      <c r="K5" s="24"/>
      <c r="L5" s="26"/>
      <c r="M5" s="26"/>
      <c r="N5" s="24"/>
      <c r="O5" s="15" t="s">
        <v>32</v>
      </c>
      <c r="P5" s="15" t="s">
        <v>33</v>
      </c>
      <c r="Q5" s="17" t="s">
        <v>34</v>
      </c>
      <c r="R5" s="15" t="s">
        <v>32</v>
      </c>
      <c r="S5" s="15" t="s">
        <v>33</v>
      </c>
      <c r="T5" s="17" t="s">
        <v>34</v>
      </c>
    </row>
    <row r="6" spans="1:20">
      <c r="B6" s="6"/>
      <c r="C6" s="27" t="s">
        <v>1</v>
      </c>
      <c r="D6" s="4" t="s">
        <v>4</v>
      </c>
      <c r="E6" s="11" t="s">
        <v>16</v>
      </c>
      <c r="F6" s="30" t="s">
        <v>18</v>
      </c>
      <c r="G6" s="31"/>
      <c r="H6" s="1" t="s">
        <v>11</v>
      </c>
      <c r="I6" s="1" t="s">
        <v>8</v>
      </c>
      <c r="J6" s="1" t="s">
        <v>10</v>
      </c>
      <c r="K6" s="19">
        <v>999999999</v>
      </c>
      <c r="L6" s="10" t="s">
        <v>17</v>
      </c>
      <c r="M6" s="19">
        <v>99999</v>
      </c>
      <c r="N6" s="19">
        <f>SUM(K6,M6)</f>
        <v>1000099998</v>
      </c>
      <c r="O6" s="18">
        <v>45322</v>
      </c>
      <c r="P6" s="10">
        <v>21</v>
      </c>
      <c r="Q6" s="18">
        <v>45343</v>
      </c>
      <c r="R6" s="18">
        <v>45322</v>
      </c>
      <c r="S6" s="10">
        <v>21</v>
      </c>
      <c r="T6" s="18">
        <v>45343</v>
      </c>
    </row>
    <row r="7" spans="1:20">
      <c r="B7" s="6"/>
      <c r="C7" s="29"/>
      <c r="D7" s="6"/>
      <c r="E7" s="12"/>
      <c r="F7" s="30" t="s">
        <v>19</v>
      </c>
      <c r="G7" s="31"/>
      <c r="H7" s="1" t="s">
        <v>11</v>
      </c>
      <c r="I7" s="1" t="s">
        <v>8</v>
      </c>
      <c r="J7" s="1" t="s">
        <v>10</v>
      </c>
      <c r="K7" s="19">
        <v>9999999</v>
      </c>
      <c r="L7" s="10" t="s">
        <v>17</v>
      </c>
      <c r="M7" s="19">
        <v>9999</v>
      </c>
      <c r="N7" s="19">
        <f t="shared" ref="N7:N9" si="0">SUM(K7,M7)</f>
        <v>10009998</v>
      </c>
      <c r="O7" s="18">
        <v>45322</v>
      </c>
      <c r="P7" s="10">
        <v>21</v>
      </c>
      <c r="Q7" s="18">
        <v>45343</v>
      </c>
      <c r="R7" s="18">
        <v>45322</v>
      </c>
      <c r="S7" s="10">
        <v>21</v>
      </c>
      <c r="T7" s="18">
        <v>45343</v>
      </c>
    </row>
    <row r="8" spans="1:20">
      <c r="B8" s="6"/>
      <c r="C8" s="28"/>
      <c r="D8" s="5"/>
      <c r="E8" s="13"/>
      <c r="F8" s="7"/>
      <c r="G8" s="8" t="s">
        <v>12</v>
      </c>
      <c r="H8" s="1"/>
      <c r="I8" s="1"/>
      <c r="J8" s="1"/>
      <c r="K8" s="19">
        <f>SUM(K6:K7)</f>
        <v>1009999998</v>
      </c>
      <c r="L8" s="10"/>
      <c r="M8" s="19">
        <f>SUM($M$6:$M$7)</f>
        <v>109998</v>
      </c>
      <c r="N8" s="19">
        <f t="shared" si="0"/>
        <v>1010109996</v>
      </c>
      <c r="O8" s="10"/>
      <c r="P8" s="10"/>
      <c r="Q8" s="10"/>
      <c r="R8" s="10"/>
      <c r="S8" s="10"/>
      <c r="T8" s="10"/>
    </row>
    <row r="9" spans="1:20">
      <c r="B9" s="14" t="s">
        <v>15</v>
      </c>
      <c r="C9" s="3"/>
      <c r="D9" s="3"/>
      <c r="E9" s="3"/>
      <c r="F9" s="3"/>
      <c r="G9" s="2"/>
      <c r="H9" s="1"/>
      <c r="I9" s="1"/>
      <c r="J9" s="1"/>
      <c r="K9" s="19">
        <f>SUMIFS($K$6:$K$8,$G$6:$G$8,"計",$H$6:$H$8,"")</f>
        <v>1009999998</v>
      </c>
      <c r="L9" s="10"/>
      <c r="M9" s="19">
        <f>SUMIFS($M$6:$M$8,$G$6:$G$8,"計",$H$6:$H$8,"")</f>
        <v>109998</v>
      </c>
      <c r="N9" s="19">
        <f t="shared" si="0"/>
        <v>1010109996</v>
      </c>
      <c r="O9" s="10"/>
      <c r="P9" s="10"/>
      <c r="Q9" s="10"/>
      <c r="R9" s="10"/>
      <c r="S9" s="10"/>
      <c r="T9" s="10"/>
    </row>
    <row r="10" spans="1:20">
      <c r="B10" s="6"/>
      <c r="C10" s="27" t="s">
        <v>24</v>
      </c>
      <c r="D10" s="27" t="s">
        <v>20</v>
      </c>
      <c r="E10" s="11"/>
      <c r="F10" s="30" t="s">
        <v>21</v>
      </c>
      <c r="G10" s="31"/>
      <c r="H10" s="1"/>
      <c r="I10" s="1"/>
      <c r="J10" s="1"/>
      <c r="K10" s="19"/>
      <c r="L10" s="10"/>
      <c r="M10" s="19"/>
      <c r="N10" s="19"/>
      <c r="O10" s="10"/>
      <c r="P10" s="10"/>
      <c r="Q10" s="10"/>
      <c r="R10" s="10"/>
      <c r="S10" s="10"/>
      <c r="T10" s="10"/>
    </row>
    <row r="11" spans="1:20">
      <c r="B11" s="6"/>
      <c r="C11" s="29"/>
      <c r="D11" s="29"/>
      <c r="E11" s="12"/>
      <c r="F11" s="30" t="s">
        <v>22</v>
      </c>
      <c r="G11" s="31"/>
      <c r="H11" s="1"/>
      <c r="I11" s="1"/>
      <c r="J11" s="1"/>
      <c r="K11" s="19"/>
      <c r="L11" s="10"/>
      <c r="M11" s="19"/>
      <c r="N11" s="19"/>
      <c r="O11" s="10"/>
      <c r="P11" s="10"/>
      <c r="Q11" s="10"/>
      <c r="R11" s="10"/>
      <c r="S11" s="10"/>
      <c r="T11" s="10"/>
    </row>
    <row r="12" spans="1:20">
      <c r="B12" s="6"/>
      <c r="C12" s="29"/>
      <c r="D12" s="29"/>
      <c r="E12" s="12"/>
      <c r="F12" s="30" t="s">
        <v>23</v>
      </c>
      <c r="G12" s="31"/>
      <c r="H12" s="1"/>
      <c r="I12" s="1"/>
      <c r="J12" s="1"/>
      <c r="K12" s="19"/>
      <c r="L12" s="10"/>
      <c r="M12" s="19"/>
      <c r="N12" s="19"/>
      <c r="O12" s="10"/>
      <c r="P12" s="10"/>
      <c r="Q12" s="10"/>
      <c r="R12" s="10"/>
      <c r="S12" s="10"/>
      <c r="T12" s="10"/>
    </row>
    <row r="13" spans="1:20">
      <c r="B13" s="6"/>
      <c r="C13" s="29"/>
      <c r="D13" s="29"/>
      <c r="E13" s="12"/>
      <c r="F13" s="30" t="s">
        <v>22</v>
      </c>
      <c r="G13" s="31"/>
      <c r="H13" s="1"/>
      <c r="I13" s="1"/>
      <c r="J13" s="1"/>
      <c r="K13" s="19"/>
      <c r="L13" s="10"/>
      <c r="M13" s="19"/>
      <c r="N13" s="19"/>
      <c r="O13" s="10"/>
      <c r="P13" s="10"/>
      <c r="Q13" s="10"/>
      <c r="R13" s="10"/>
      <c r="S13" s="10"/>
      <c r="T13" s="10"/>
    </row>
    <row r="14" spans="1:20">
      <c r="B14" s="6"/>
      <c r="C14" s="28"/>
      <c r="D14" s="28"/>
      <c r="E14" s="13"/>
      <c r="F14" s="7"/>
      <c r="G14" s="8" t="s">
        <v>12</v>
      </c>
      <c r="H14" s="1"/>
      <c r="I14" s="1"/>
      <c r="J14" s="1"/>
      <c r="K14" s="19"/>
      <c r="L14" s="10"/>
      <c r="M14" s="19"/>
      <c r="N14" s="19"/>
      <c r="O14" s="10"/>
      <c r="P14" s="10"/>
      <c r="Q14" s="10"/>
      <c r="R14" s="10"/>
      <c r="S14" s="10"/>
      <c r="T14" s="10"/>
    </row>
    <row r="15" spans="1:20">
      <c r="B15" s="14" t="s">
        <v>25</v>
      </c>
      <c r="C15" s="3"/>
      <c r="D15" s="3"/>
      <c r="E15" s="3"/>
      <c r="F15" s="3"/>
      <c r="G15" s="2"/>
      <c r="H15" s="1"/>
      <c r="I15" s="1"/>
      <c r="J15" s="1"/>
      <c r="K15" s="19"/>
      <c r="L15" s="10"/>
      <c r="M15" s="19"/>
      <c r="N15" s="19"/>
      <c r="O15" s="10"/>
      <c r="P15" s="10"/>
      <c r="Q15" s="10"/>
      <c r="R15" s="10"/>
      <c r="S15" s="10"/>
      <c r="T15" s="10"/>
    </row>
    <row r="16" spans="1:20">
      <c r="K16" s="20"/>
      <c r="M16" s="20"/>
      <c r="N16" s="20"/>
    </row>
    <row r="17" spans="2:20">
      <c r="B17" s="16" t="s">
        <v>26</v>
      </c>
      <c r="C17" s="3"/>
      <c r="D17" s="3"/>
      <c r="E17" s="3"/>
      <c r="F17" s="3"/>
      <c r="G17" s="3"/>
      <c r="H17" s="3"/>
      <c r="I17" s="3"/>
      <c r="J17" s="3"/>
      <c r="K17" s="21">
        <f>$K$9</f>
        <v>1009999998</v>
      </c>
      <c r="L17" s="15"/>
      <c r="M17" s="21">
        <v>99999</v>
      </c>
      <c r="N17" s="19">
        <f t="shared" ref="N17" si="1">SUM(K17,M17)</f>
        <v>1010099997</v>
      </c>
      <c r="O17" s="15"/>
      <c r="P17" s="15"/>
      <c r="Q17" s="15"/>
      <c r="R17" s="15"/>
      <c r="S17" s="15"/>
      <c r="T17" s="15"/>
    </row>
    <row r="18" spans="2:20">
      <c r="B18" s="16" t="s">
        <v>27</v>
      </c>
      <c r="C18" s="3"/>
      <c r="D18" s="3"/>
      <c r="E18" s="3"/>
      <c r="F18" s="3"/>
      <c r="G18" s="3"/>
      <c r="H18" s="3"/>
      <c r="I18" s="3"/>
      <c r="J18" s="3"/>
      <c r="K18" s="21"/>
      <c r="L18" s="15"/>
      <c r="M18" s="21"/>
      <c r="N18" s="21"/>
      <c r="O18" s="15"/>
      <c r="P18" s="15"/>
      <c r="Q18" s="15"/>
      <c r="R18" s="15"/>
      <c r="S18" s="15"/>
      <c r="T18" s="15"/>
    </row>
  </sheetData>
  <mergeCells count="22">
    <mergeCell ref="O4:Q4"/>
    <mergeCell ref="R4:T4"/>
    <mergeCell ref="M4:M5"/>
    <mergeCell ref="N4:N5"/>
    <mergeCell ref="C6:C8"/>
    <mergeCell ref="D4:D5"/>
    <mergeCell ref="E4:E5"/>
    <mergeCell ref="F4:G5"/>
    <mergeCell ref="F6:G6"/>
    <mergeCell ref="F7:G7"/>
    <mergeCell ref="C10:C14"/>
    <mergeCell ref="F10:G10"/>
    <mergeCell ref="F13:G13"/>
    <mergeCell ref="D10:D14"/>
    <mergeCell ref="F12:G12"/>
    <mergeCell ref="F11:G11"/>
    <mergeCell ref="K4:K5"/>
    <mergeCell ref="L4:L5"/>
    <mergeCell ref="C4:C5"/>
    <mergeCell ref="H4:H5"/>
    <mergeCell ref="I4:I5"/>
    <mergeCell ref="J4:J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F6A0-484F-C54D-A5A1-89F20A669DAE}">
  <dimension ref="A1:D16"/>
  <sheetViews>
    <sheetView workbookViewId="0">
      <selection activeCell="D8" sqref="D8"/>
    </sheetView>
  </sheetViews>
  <sheetFormatPr baseColWidth="10" defaultRowHeight="20"/>
  <cols>
    <col min="2" max="2" width="25.7109375" customWidth="1"/>
    <col min="3" max="3" width="21.28515625" customWidth="1"/>
  </cols>
  <sheetData>
    <row r="1" spans="1:4">
      <c r="A1" t="s">
        <v>37</v>
      </c>
      <c r="C1" t="s">
        <v>45</v>
      </c>
      <c r="D1" t="s">
        <v>46</v>
      </c>
    </row>
    <row r="3" spans="1:4">
      <c r="B3" t="s">
        <v>38</v>
      </c>
      <c r="C3">
        <v>70000000</v>
      </c>
      <c r="D3">
        <v>7000000</v>
      </c>
    </row>
    <row r="4" spans="1:4">
      <c r="B4" t="s">
        <v>39</v>
      </c>
    </row>
    <row r="7" spans="1:4">
      <c r="A7" t="s">
        <v>40</v>
      </c>
      <c r="B7" t="s">
        <v>41</v>
      </c>
      <c r="C7">
        <f>SUM(C9:C11)</f>
        <v>6000000</v>
      </c>
      <c r="D7">
        <f>SUM(D9:D11)</f>
        <v>600000</v>
      </c>
    </row>
    <row r="8" spans="1:4">
      <c r="B8" t="s">
        <v>50</v>
      </c>
      <c r="C8">
        <f>SUM(C9:C10)</f>
        <v>3000000</v>
      </c>
      <c r="D8">
        <f>SUM(D9:D10)</f>
        <v>300000</v>
      </c>
    </row>
    <row r="9" spans="1:4">
      <c r="B9" t="s">
        <v>42</v>
      </c>
      <c r="C9">
        <v>1000000</v>
      </c>
      <c r="D9">
        <v>100000</v>
      </c>
    </row>
    <row r="10" spans="1:4">
      <c r="B10" t="s">
        <v>43</v>
      </c>
      <c r="C10">
        <v>2000000</v>
      </c>
      <c r="D10">
        <v>200000</v>
      </c>
    </row>
    <row r="11" spans="1:4">
      <c r="B11" t="s">
        <v>44</v>
      </c>
      <c r="C11">
        <v>3000000</v>
      </c>
      <c r="D11">
        <v>300000</v>
      </c>
    </row>
    <row r="14" spans="1:4">
      <c r="B14" t="s">
        <v>47</v>
      </c>
      <c r="C14">
        <v>20000000</v>
      </c>
    </row>
    <row r="15" spans="1:4">
      <c r="B15" t="s">
        <v>48</v>
      </c>
      <c r="C15">
        <v>20000000</v>
      </c>
    </row>
    <row r="16" spans="1:4">
      <c r="B16" t="s">
        <v>49</v>
      </c>
      <c r="C16">
        <v>30000000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投資</vt:lpstr>
      <vt:lpstr>部門別経費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 LI</dc:creator>
  <cp:lastModifiedBy>LINGYU LI</cp:lastModifiedBy>
  <dcterms:created xsi:type="dcterms:W3CDTF">2025-11-13T05:52:56Z</dcterms:created>
  <dcterms:modified xsi:type="dcterms:W3CDTF">2025-12-04T08:55:42Z</dcterms:modified>
</cp:coreProperties>
</file>